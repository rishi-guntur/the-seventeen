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Calc" sheetId="3" state="visible" r:id="rId3"/>
    <sheet name="Sensitivity" sheetId="4" state="visible" r:id="rId4"/>
    <sheet name="Chart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"/>
    <numFmt numFmtId="166" formatCode="&quot;$&quot;#,##0"/>
    <numFmt numFmtId="167" formatCode="0.0%"/>
    <numFmt numFmtId="168" formatCode="0.00x"/>
    <numFmt numFmtId="169" formatCode="+0.0%;-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0000C0"/>
      <sz val="11"/>
    </font>
    <font>
      <b val="1"/>
    </font>
    <font>
      <name val="Calibri"/>
      <color rgb="00007B3A"/>
      <sz val="11"/>
    </font>
    <font>
      <b val="1"/>
      <color rgb="001F2A44"/>
      <sz val="12"/>
    </font>
    <font>
      <b val="1"/>
      <color rgb="002E6DB4"/>
    </font>
    <font>
      <b val="1"/>
      <color rgb="001F2A44"/>
    </font>
    <font>
      <i val="1"/>
    </font>
    <font>
      <i val="1"/>
      <color rgb="002E6DB4"/>
    </font>
    <font>
      <name val="Calibri"/>
      <b val="1"/>
      <color rgb="001F2A44"/>
      <sz val="11"/>
    </font>
    <font>
      <name val="Calibri"/>
      <b val="1"/>
      <color rgb="002E6DB4"/>
      <sz val="11"/>
    </font>
    <font>
      <name val="Calibri"/>
      <b val="1"/>
      <color rgb="00007B3A"/>
      <sz val="11"/>
    </font>
    <font>
      <b val="1"/>
      <color rgb="008A2A2A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C"/>
      </patternFill>
    </fill>
    <fill>
      <patternFill patternType="solid">
        <fgColor rgb="00FFF3CD"/>
      </patternFill>
    </fill>
    <fill>
      <patternFill patternType="solid">
        <fgColor rgb="00EEF1F6"/>
      </patternFill>
    </fill>
  </fills>
  <borders count="7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  <border>
      <left style="thin">
        <color rgb="00BFC7D5"/>
      </left>
      <right style="thin">
        <color rgb="00BFC7D5"/>
      </right>
      <top style="thin">
        <color rgb="00BFC7D5"/>
      </top>
      <bottom style="double">
        <color rgb="001F2A44"/>
      </bottom>
    </border>
    <border>
      <left/>
      <right/>
      <top style="thin">
        <color rgb="00BFC7D5"/>
      </top>
      <bottom/>
      <diagonal/>
    </border>
    <border>
      <left/>
      <right style="thin">
        <color rgb="00BFC7D5"/>
      </right>
      <top style="thin">
        <color rgb="00BFC7D5"/>
      </top>
      <bottom/>
      <diagonal/>
    </border>
    <border>
      <left/>
      <right/>
      <top style="thin">
        <color rgb="00BFC7D5"/>
      </top>
      <bottom style="thin">
        <color rgb="00BFC7D5"/>
      </bottom>
      <diagonal/>
    </border>
    <border>
      <left/>
      <right style="thin">
        <color rgb="00BFC7D5"/>
      </right>
      <top style="thin">
        <color rgb="00BFC7D5"/>
      </top>
      <bottom style="thin">
        <color rgb="00BFC7D5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6" fontId="15" fillId="5" borderId="2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9" fontId="15" fillId="5" borderId="1" applyAlignment="1" pivotButton="0" quotePrefix="0" xfId="0">
      <alignment horizontal="right" vertical="center"/>
    </xf>
    <xf numFmtId="167" fontId="15" fillId="5" borderId="1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pivotButton="0" quotePrefix="0" xfId="0"/>
    <xf numFmtId="166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5" borderId="1" pivotButton="0" quotePrefix="0" xfId="0"/>
    <xf numFmtId="10" fontId="6" fillId="5" borderId="1" pivotButton="0" quotePrefix="0" xfId="0"/>
    <xf numFmtId="0" fontId="7" fillId="0" borderId="1" pivotButton="0" quotePrefix="0" xfId="0"/>
    <xf numFmtId="10" fontId="7" fillId="0" borderId="1" pivotButton="0" quotePrefix="0" xfId="0"/>
    <xf numFmtId="164" fontId="7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8" fillId="0" borderId="0" pivotButton="0" quotePrefix="0" xfId="0"/>
    <xf numFmtId="166" fontId="8" fillId="5" borderId="2" pivotButton="0" quotePrefix="0" xfId="0"/>
    <xf numFmtId="0" fontId="6" fillId="0" borderId="0" pivotButton="0" quotePrefix="0" xfId="0"/>
    <xf numFmtId="167" fontId="9" fillId="0" borderId="0" pivotButton="0" quotePrefix="0" xfId="0"/>
    <xf numFmtId="168" fontId="5" fillId="4" borderId="1" pivotButton="0" quotePrefix="0" xfId="0"/>
    <xf numFmtId="166" fontId="7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169" fontId="12" fillId="0" borderId="0" pivotButton="0" quotePrefix="0" xfId="0"/>
    <xf numFmtId="167" fontId="0" fillId="0" borderId="0" pivotButton="0" quotePrefix="0" xfId="0"/>
    <xf numFmtId="0" fontId="1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Basket value / tonne REO by scenario (illustrative)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'Summary'!B22</f>
            </strRef>
          </tx>
          <spPr>
            <a:ln>
              <a:prstDash val="solid"/>
            </a:ln>
          </spPr>
          <cat>
            <numRef>
              <f>'Summary'!$A$23:$A$25</f>
            </numRef>
          </cat>
          <val>
            <numRef>
              <f>'Summary'!$B$23:$B$25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tonne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Contribution to basket value by element (illustrative)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'Chart'!B3</f>
            </strRef>
          </tx>
          <spPr>
            <a:ln>
              <a:prstDash val="solid"/>
            </a:ln>
          </spPr>
          <cat>
            <numRef>
              <f>'Chart'!$A$4:$A$20</f>
            </numRef>
          </cat>
          <val>
            <numRef>
              <f>'Chart'!$B$4:$B$20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basket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8" customWidth="1" min="3" max="3"/>
    <col width="18" customWidth="1" min="4" max="4"/>
    <col width="4" customWidth="1" min="5" max="5"/>
  </cols>
  <sheetData>
    <row r="1" ht="26" customHeight="1">
      <c r="A1" s="1" t="inlineStr">
        <is>
          <t>THE 17 — BASKET-ECONOMICS MODEL</t>
        </is>
      </c>
      <c r="B1" s="2" t="n"/>
      <c r="C1" s="2" t="n"/>
      <c r="D1" s="2" t="n"/>
      <c r="E1" s="2" t="n"/>
    </row>
    <row r="2" ht="28" customHeight="1">
      <c r="A2" s="3" t="inlineStr">
        <is>
          <t>Rare-earth basket value per tonne of mixed REO, with price-floor and export-control-shock scenarios. Prepared 2026-07-07. ALL FIGURES ILLUSTRATIVE until Inputs are replaced with real data — see Notes tab.</t>
        </is>
      </c>
    </row>
    <row r="4">
      <c r="A4" s="4" t="inlineStr">
        <is>
          <t>TABLE OF CONTENTS</t>
        </is>
      </c>
    </row>
    <row r="5">
      <c r="A5" s="5" t="inlineStr">
        <is>
          <t>Summary</t>
        </is>
      </c>
      <c r="B5" s="6" t="inlineStr">
        <is>
          <t>This dashboard — key outputs &amp; sensitivity chart.</t>
        </is>
      </c>
    </row>
    <row r="6">
      <c r="A6" s="5" t="inlineStr">
        <is>
          <t>Inputs</t>
        </is>
      </c>
      <c r="B6" s="6" t="inlineStr">
        <is>
          <t>Deposit % by oxide + oxide prices. BLUE cells = hardcoded inputs to replace.</t>
        </is>
      </c>
    </row>
    <row r="7">
      <c r="A7" s="5" t="inlineStr">
        <is>
          <t>Calc</t>
        </is>
      </c>
      <c r="B7" s="6" t="inlineStr">
        <is>
          <t>Weighted basket value / tonne REO; % contribution by element.</t>
        </is>
      </c>
    </row>
    <row r="8">
      <c r="A8" s="5" t="inlineStr">
        <is>
          <t>Sensitivity</t>
        </is>
      </c>
      <c r="B8" s="6" t="inlineStr">
        <is>
          <t>Price-floor &amp; export-control-shock scenarios.</t>
        </is>
      </c>
    </row>
    <row r="9">
      <c r="A9" s="5" t="inlineStr">
        <is>
          <t>Chart</t>
        </is>
      </c>
      <c r="B9" s="6" t="inlineStr">
        <is>
          <t>% contribution to basket value by element.</t>
        </is>
      </c>
    </row>
    <row r="10">
      <c r="A10" s="5" t="inlineStr">
        <is>
          <t>Notes</t>
        </is>
      </c>
      <c r="B10" s="6" t="inlineStr">
        <is>
          <t>Read me — conventions, caveats, fill-in checklist.</t>
        </is>
      </c>
    </row>
    <row r="13">
      <c r="A13" s="4" t="inlineStr">
        <is>
          <t>KEY OUTPUTS</t>
        </is>
      </c>
    </row>
    <row r="14">
      <c r="A14" s="7" t="inlineStr">
        <is>
          <t>Basket value / tonne REO (base)</t>
        </is>
      </c>
      <c r="B14" s="8" t="n"/>
      <c r="C14" s="8" t="n"/>
      <c r="D14" s="9">
        <f>Calc!F21</f>
        <v/>
      </c>
    </row>
    <row r="15">
      <c r="A15" s="7" t="inlineStr">
        <is>
          <t>Basket value / tonne (price-floor scenario)</t>
        </is>
      </c>
      <c r="B15" s="8" t="n"/>
      <c r="C15" s="8" t="n"/>
      <c r="D15" s="10">
        <f>Sensitivity!D26</f>
        <v/>
      </c>
    </row>
    <row r="16">
      <c r="A16" s="7" t="inlineStr">
        <is>
          <t>Basket value / tonne (export-control shock)</t>
        </is>
      </c>
      <c r="B16" s="8" t="n"/>
      <c r="C16" s="8" t="n"/>
      <c r="D16" s="10">
        <f>Sensitivity!E26</f>
        <v/>
      </c>
    </row>
    <row r="17">
      <c r="A17" s="7" t="inlineStr">
        <is>
          <t>Uplift vs base — floor</t>
        </is>
      </c>
      <c r="B17" s="8" t="n"/>
      <c r="C17" s="8" t="n"/>
      <c r="D17" s="11">
        <f>Sensitivity!D27</f>
        <v/>
      </c>
    </row>
    <row r="18">
      <c r="A18" s="7" t="inlineStr">
        <is>
          <t>Uplift vs base — shock</t>
        </is>
      </c>
      <c r="B18" s="8" t="n"/>
      <c r="C18" s="8" t="n"/>
      <c r="D18" s="11">
        <f>Sensitivity!E27</f>
        <v/>
      </c>
    </row>
    <row r="19">
      <c r="A19" s="7" t="inlineStr">
        <is>
          <t>Magnet elements (NdPr+Dy+Tb) share of basket value</t>
        </is>
      </c>
      <c r="B19" s="8" t="n"/>
      <c r="C19" s="8" t="n"/>
      <c r="D19" s="12">
        <f>Calc!F23</f>
        <v/>
      </c>
    </row>
    <row r="20">
      <c r="A20" s="6" t="inlineStr">
        <is>
          <t>Green = pulled live from other tabs. Headline row double-underlined. Figures illustrative until Inputs are real.</t>
        </is>
      </c>
    </row>
    <row r="22">
      <c r="A22" s="13" t="inlineStr">
        <is>
          <t>Scenario</t>
        </is>
      </c>
      <c r="B22" s="13" t="inlineStr">
        <is>
          <t>Basket value USD/tonne</t>
        </is>
      </c>
    </row>
    <row r="23">
      <c r="A23" s="14" t="inlineStr">
        <is>
          <t>Base</t>
        </is>
      </c>
      <c r="B23" s="15">
        <f>Calc!F21</f>
        <v/>
      </c>
    </row>
    <row r="24">
      <c r="A24" s="14" t="inlineStr">
        <is>
          <t>Price floor</t>
        </is>
      </c>
      <c r="B24" s="15">
        <f>Sensitivity!D26</f>
        <v/>
      </c>
    </row>
    <row r="25">
      <c r="A25" s="14" t="inlineStr">
        <is>
          <t>Export-control shock</t>
        </is>
      </c>
      <c r="B25" s="15">
        <f>Sensitivity!E26</f>
        <v/>
      </c>
    </row>
  </sheetData>
  <mergeCells count="14">
    <mergeCell ref="B9:E9"/>
    <mergeCell ref="A19:C19"/>
    <mergeCell ref="B8:E8"/>
    <mergeCell ref="A2:E2"/>
    <mergeCell ref="A14:C14"/>
    <mergeCell ref="B6:E6"/>
    <mergeCell ref="A17:C17"/>
    <mergeCell ref="A18:C18"/>
    <mergeCell ref="B7:E7"/>
    <mergeCell ref="A1:E1"/>
    <mergeCell ref="B5:E5"/>
    <mergeCell ref="A15:C15"/>
    <mergeCell ref="B10:E10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 ht="26" customHeight="1">
      <c r="A1" s="1" t="inlineStr">
        <is>
          <t>INPUTS — Deposit element split (% by oxide) &amp; oxide prices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ILLUSTRATIVE PLACEHOLDERS ONLY. Replace Example Deposit A/B with [[INPUT: real % by oxide]] and the price column with [[VERIFY: oxide prices as of &lt;date&gt;]]. Amber cells = you must fill in. % columns should sum to ~100.</t>
        </is>
      </c>
    </row>
    <row r="3" ht="42" customHeight="1">
      <c r="A3" s="16" t="inlineStr">
        <is>
          <t>Element</t>
        </is>
      </c>
      <c r="B3" s="16" t="inlineStr">
        <is>
          <t>Oxide</t>
        </is>
      </c>
      <c r="C3" s="16" t="inlineStr">
        <is>
          <t>Group</t>
        </is>
      </c>
      <c r="D3" s="16" t="inlineStr">
        <is>
          <t>Example Deposit A
(% by oxide) [[INPUT]]</t>
        </is>
      </c>
      <c r="E3" s="16" t="inlineStr">
        <is>
          <t>Example Deposit B
(% by oxide) [[INPUT]]</t>
        </is>
      </c>
      <c r="F3" s="16" t="inlineStr">
        <is>
          <t>Oxide price
(USD/kg) [[VERIFY: as of &lt;date&gt;]]</t>
        </is>
      </c>
      <c r="G3" s="16" t="inlineStr">
        <is>
          <t>Magnet element?</t>
        </is>
      </c>
    </row>
    <row r="4">
      <c r="A4" s="17" t="inlineStr">
        <is>
          <t>Lanthanum (La)</t>
        </is>
      </c>
      <c r="B4" s="17" t="inlineStr">
        <is>
          <t>La2O3</t>
        </is>
      </c>
      <c r="C4" s="17" t="inlineStr">
        <is>
          <t>Light</t>
        </is>
      </c>
      <c r="D4" s="18" t="n">
        <v>0.28</v>
      </c>
      <c r="E4" s="18" t="n">
        <v>0.22</v>
      </c>
      <c r="F4" s="19" t="n">
        <v>1</v>
      </c>
      <c r="G4" s="17" t="inlineStr"/>
    </row>
    <row r="5">
      <c r="A5" s="17" t="inlineStr">
        <is>
          <t>Cerium (Ce)</t>
        </is>
      </c>
      <c r="B5" s="17" t="inlineStr">
        <is>
          <t>CeO2</t>
        </is>
      </c>
      <c r="C5" s="17" t="inlineStr">
        <is>
          <t>Light</t>
        </is>
      </c>
      <c r="D5" s="18" t="n">
        <v>0.45</v>
      </c>
      <c r="E5" s="18" t="n">
        <v>0.4</v>
      </c>
      <c r="F5" s="19" t="n">
        <v>1</v>
      </c>
      <c r="G5" s="17" t="inlineStr"/>
    </row>
    <row r="6">
      <c r="A6" s="17" t="inlineStr">
        <is>
          <t>Praseodymium (Pr)</t>
        </is>
      </c>
      <c r="B6" s="17" t="inlineStr">
        <is>
          <t>Pr6O11</t>
        </is>
      </c>
      <c r="C6" s="17" t="inlineStr">
        <is>
          <t>Light (magnet)</t>
        </is>
      </c>
      <c r="D6" s="18" t="n">
        <v>0.045</v>
      </c>
      <c r="E6" s="18" t="n">
        <v>0.04</v>
      </c>
      <c r="F6" s="19" t="n">
        <v>90</v>
      </c>
      <c r="G6" s="17" t="inlineStr">
        <is>
          <t>Yes</t>
        </is>
      </c>
    </row>
    <row r="7">
      <c r="A7" s="17" t="inlineStr">
        <is>
          <t>Neodymium (Nd)</t>
        </is>
      </c>
      <c r="B7" s="17" t="inlineStr">
        <is>
          <t>Nd2O3</t>
        </is>
      </c>
      <c r="C7" s="17" t="inlineStr">
        <is>
          <t>Light (magnet)</t>
        </is>
      </c>
      <c r="D7" s="18" t="n">
        <v>0.16</v>
      </c>
      <c r="E7" s="18" t="n">
        <v>0.14</v>
      </c>
      <c r="F7" s="19" t="n">
        <v>90</v>
      </c>
      <c r="G7" s="17" t="inlineStr">
        <is>
          <t>Yes</t>
        </is>
      </c>
    </row>
    <row r="8">
      <c r="A8" s="17" t="inlineStr">
        <is>
          <t>Samarium (Sm)</t>
        </is>
      </c>
      <c r="B8" s="17" t="inlineStr">
        <is>
          <t>Sm2O3</t>
        </is>
      </c>
      <c r="C8" s="17" t="inlineStr">
        <is>
          <t>Light</t>
        </is>
      </c>
      <c r="D8" s="18" t="n">
        <v>0.02</v>
      </c>
      <c r="E8" s="18" t="n">
        <v>0.025</v>
      </c>
      <c r="F8" s="19" t="n">
        <v>3</v>
      </c>
      <c r="G8" s="17" t="inlineStr"/>
    </row>
    <row r="9">
      <c r="A9" s="17" t="inlineStr">
        <is>
          <t>Europium (Eu)</t>
        </is>
      </c>
      <c r="B9" s="17" t="inlineStr">
        <is>
          <t>Eu2O3</t>
        </is>
      </c>
      <c r="C9" s="17" t="inlineStr">
        <is>
          <t>Heavy</t>
        </is>
      </c>
      <c r="D9" s="18" t="n">
        <v>0.003</v>
      </c>
      <c r="E9" s="18" t="n">
        <v>0.004</v>
      </c>
      <c r="F9" s="19" t="n">
        <v>28</v>
      </c>
      <c r="G9" s="17" t="inlineStr"/>
    </row>
    <row r="10">
      <c r="A10" s="17" t="inlineStr">
        <is>
          <t>Gadolinium (Gd)</t>
        </is>
      </c>
      <c r="B10" s="17" t="inlineStr">
        <is>
          <t>Gd2O3</t>
        </is>
      </c>
      <c r="C10" s="17" t="inlineStr">
        <is>
          <t>Heavy</t>
        </is>
      </c>
      <c r="D10" s="18" t="n">
        <v>0.012</v>
      </c>
      <c r="E10" s="18" t="n">
        <v>0.02</v>
      </c>
      <c r="F10" s="19" t="n">
        <v>30</v>
      </c>
      <c r="G10" s="17" t="inlineStr"/>
    </row>
    <row r="11">
      <c r="A11" s="17" t="inlineStr">
        <is>
          <t>Terbium (Tb)</t>
        </is>
      </c>
      <c r="B11" s="17" t="inlineStr">
        <is>
          <t>Tb4O7</t>
        </is>
      </c>
      <c r="C11" s="17" t="inlineStr">
        <is>
          <t>Heavy (magnet)</t>
        </is>
      </c>
      <c r="D11" s="18" t="n">
        <v>0.002</v>
      </c>
      <c r="E11" s="18" t="n">
        <v>0.015</v>
      </c>
      <c r="F11" s="19" t="n">
        <v>900</v>
      </c>
      <c r="G11" s="17" t="inlineStr">
        <is>
          <t>Yes</t>
        </is>
      </c>
    </row>
    <row r="12">
      <c r="A12" s="17" t="inlineStr">
        <is>
          <t>Dysprosium (Dy)</t>
        </is>
      </c>
      <c r="B12" s="17" t="inlineStr">
        <is>
          <t>Dy2O3</t>
        </is>
      </c>
      <c r="C12" s="17" t="inlineStr">
        <is>
          <t>Heavy (magnet)</t>
        </is>
      </c>
      <c r="D12" s="18" t="n">
        <v>0.01</v>
      </c>
      <c r="E12" s="18" t="n">
        <v>0.06</v>
      </c>
      <c r="F12" s="19" t="n">
        <v>350</v>
      </c>
      <c r="G12" s="17" t="inlineStr">
        <is>
          <t>Yes</t>
        </is>
      </c>
    </row>
    <row r="13">
      <c r="A13" s="17" t="inlineStr">
        <is>
          <t>Holmium (Ho)</t>
        </is>
      </c>
      <c r="B13" s="17" t="inlineStr">
        <is>
          <t>Ho2O3</t>
        </is>
      </c>
      <c r="C13" s="17" t="inlineStr">
        <is>
          <t>Heavy</t>
        </is>
      </c>
      <c r="D13" s="18" t="n">
        <v>0.0015</v>
      </c>
      <c r="E13" s="18" t="n">
        <v>0.008</v>
      </c>
      <c r="F13" s="19" t="n">
        <v>90</v>
      </c>
      <c r="G13" s="17" t="inlineStr"/>
    </row>
    <row r="14">
      <c r="A14" s="17" t="inlineStr">
        <is>
          <t>Erbium (Er)</t>
        </is>
      </c>
      <c r="B14" s="17" t="inlineStr">
        <is>
          <t>Er2O3</t>
        </is>
      </c>
      <c r="C14" s="17" t="inlineStr">
        <is>
          <t>Heavy</t>
        </is>
      </c>
      <c r="D14" s="18" t="n">
        <v>0.004</v>
      </c>
      <c r="E14" s="18" t="n">
        <v>0.025</v>
      </c>
      <c r="F14" s="19" t="n">
        <v>30</v>
      </c>
      <c r="G14" s="17" t="inlineStr"/>
    </row>
    <row r="15">
      <c r="A15" s="17" t="inlineStr">
        <is>
          <t>Thulium (Tm)</t>
        </is>
      </c>
      <c r="B15" s="17" t="inlineStr">
        <is>
          <t>Tm2O3</t>
        </is>
      </c>
      <c r="C15" s="17" t="inlineStr">
        <is>
          <t>Heavy</t>
        </is>
      </c>
      <c r="D15" s="18" t="n">
        <v>0.0005</v>
      </c>
      <c r="E15" s="18" t="n">
        <v>0.003</v>
      </c>
      <c r="F15" s="19" t="n">
        <v>100</v>
      </c>
      <c r="G15" s="17" t="inlineStr"/>
    </row>
    <row r="16">
      <c r="A16" s="17" t="inlineStr">
        <is>
          <t>Ytterbium (Yb)</t>
        </is>
      </c>
      <c r="B16" s="17" t="inlineStr">
        <is>
          <t>Yb2O3</t>
        </is>
      </c>
      <c r="C16" s="17" t="inlineStr">
        <is>
          <t>Heavy</t>
        </is>
      </c>
      <c r="D16" s="18" t="n">
        <v>0.002</v>
      </c>
      <c r="E16" s="18" t="n">
        <v>0.015</v>
      </c>
      <c r="F16" s="19" t="n">
        <v>18</v>
      </c>
      <c r="G16" s="17" t="inlineStr"/>
    </row>
    <row r="17">
      <c r="A17" s="17" t="inlineStr">
        <is>
          <t>Lutetium (Lu)</t>
        </is>
      </c>
      <c r="B17" s="17" t="inlineStr">
        <is>
          <t>Lu2O3</t>
        </is>
      </c>
      <c r="C17" s="17" t="inlineStr">
        <is>
          <t>Heavy</t>
        </is>
      </c>
      <c r="D17" s="18" t="n">
        <v>0.0005</v>
      </c>
      <c r="E17" s="18" t="n">
        <v>0.003</v>
      </c>
      <c r="F17" s="19" t="n">
        <v>600</v>
      </c>
      <c r="G17" s="17" t="inlineStr"/>
    </row>
    <row r="18">
      <c r="A18" s="17" t="inlineStr">
        <is>
          <t>Yttrium (Y)</t>
        </is>
      </c>
      <c r="B18" s="17" t="inlineStr">
        <is>
          <t>Y2O3</t>
        </is>
      </c>
      <c r="C18" s="17" t="inlineStr">
        <is>
          <t>Heavy</t>
        </is>
      </c>
      <c r="D18" s="18" t="n">
        <v>0.006999999999999999</v>
      </c>
      <c r="E18" s="18" t="n">
        <v>0.015</v>
      </c>
      <c r="F18" s="19" t="n">
        <v>8</v>
      </c>
      <c r="G18" s="17" t="inlineStr"/>
    </row>
    <row r="19">
      <c r="A19" s="17" t="inlineStr">
        <is>
          <t>Scandium (Sc)</t>
        </is>
      </c>
      <c r="B19" s="17" t="inlineStr">
        <is>
          <t>Sc2O3</t>
        </is>
      </c>
      <c r="C19" s="17" t="inlineStr">
        <is>
          <t>Heavy</t>
        </is>
      </c>
      <c r="D19" s="18" t="n">
        <v>0</v>
      </c>
      <c r="E19" s="18" t="n">
        <v>0</v>
      </c>
      <c r="F19" s="19" t="n">
        <v>1000</v>
      </c>
      <c r="G19" s="17" t="inlineStr"/>
    </row>
    <row r="20">
      <c r="A20" s="17" t="inlineStr">
        <is>
          <t>Promethium (Pm)</t>
        </is>
      </c>
      <c r="B20" s="17" t="inlineStr">
        <is>
          <t>Pm2O3</t>
        </is>
      </c>
      <c r="C20" s="17" t="inlineStr">
        <is>
          <t>n/a</t>
        </is>
      </c>
      <c r="D20" s="18" t="n">
        <v>0</v>
      </c>
      <c r="E20" s="18" t="n">
        <v>0</v>
      </c>
      <c r="F20" s="19" t="n">
        <v>0</v>
      </c>
      <c r="G20" s="17" t="inlineStr"/>
    </row>
    <row r="21">
      <c r="C21" s="20" t="inlineStr">
        <is>
          <t>TOTAL (should be ~100%)</t>
        </is>
      </c>
      <c r="D21" s="21">
        <f>SUM(D4:D20)</f>
        <v/>
      </c>
      <c r="E21" s="21">
        <f>SUM(E4:E20)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3" customWidth="1" min="4" max="4"/>
    <col width="15" customWidth="1" min="5" max="5"/>
    <col width="16" customWidth="1" min="6" max="6"/>
    <col width="16" customWidth="1" min="7" max="7"/>
    <col width="14" customWidth="1" min="8" max="8"/>
  </cols>
  <sheetData>
    <row r="1" ht="26" customHeight="1">
      <c r="A1" s="1" t="inlineStr">
        <is>
          <t>CALC — Weighted basket value per tonne &amp; % contribution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Basket value per tonne of mixed rare-earth oxide (REO) = Σ (oxide % × price USD/kg × 1,000 kg). Pulls live from the Inputs tab. Deposit A is the default basket; switch the formula column to Inputs col E to value Deposit B.</t>
        </is>
      </c>
    </row>
    <row r="3" ht="30" customHeight="1">
      <c r="A3" s="16" t="inlineStr">
        <is>
          <t>Element</t>
        </is>
      </c>
      <c r="B3" s="16" t="inlineStr">
        <is>
          <t>Group</t>
        </is>
      </c>
      <c r="C3" s="16" t="inlineStr">
        <is>
          <t>% by oxide (A)</t>
        </is>
      </c>
      <c r="D3" s="16" t="inlineStr">
        <is>
          <t>Price USD/kg</t>
        </is>
      </c>
      <c r="E3" s="16" t="inlineStr">
        <is>
          <t>kg per tonne REO</t>
        </is>
      </c>
      <c r="F3" s="16" t="inlineStr">
        <is>
          <t>Value USD/tonne</t>
        </is>
      </c>
      <c r="G3" s="16" t="inlineStr">
        <is>
          <t>% of basket value</t>
        </is>
      </c>
      <c r="H3" s="16" t="inlineStr">
        <is>
          <t>Magnet element?</t>
        </is>
      </c>
    </row>
    <row r="4">
      <c r="A4" s="22">
        <f>Inputs!A4</f>
        <v/>
      </c>
      <c r="B4" s="22">
        <f>Inputs!C4</f>
        <v/>
      </c>
      <c r="C4" s="23">
        <f>Inputs!D4</f>
        <v/>
      </c>
      <c r="D4" s="24">
        <f>Inputs!F4</f>
        <v/>
      </c>
      <c r="E4" s="25">
        <f>C4*1000</f>
        <v/>
      </c>
      <c r="F4" s="26">
        <f>E4*D4</f>
        <v/>
      </c>
      <c r="G4" s="27">
        <f>F4/$F$21</f>
        <v/>
      </c>
      <c r="H4" s="22">
        <f>Inputs!G4</f>
        <v/>
      </c>
    </row>
    <row r="5">
      <c r="A5" s="22">
        <f>Inputs!A5</f>
        <v/>
      </c>
      <c r="B5" s="22">
        <f>Inputs!C5</f>
        <v/>
      </c>
      <c r="C5" s="23">
        <f>Inputs!D5</f>
        <v/>
      </c>
      <c r="D5" s="24">
        <f>Inputs!F5</f>
        <v/>
      </c>
      <c r="E5" s="25">
        <f>C5*1000</f>
        <v/>
      </c>
      <c r="F5" s="26">
        <f>E5*D5</f>
        <v/>
      </c>
      <c r="G5" s="27">
        <f>F5/$F$21</f>
        <v/>
      </c>
      <c r="H5" s="22">
        <f>Inputs!G5</f>
        <v/>
      </c>
    </row>
    <row r="6">
      <c r="A6" s="22">
        <f>Inputs!A6</f>
        <v/>
      </c>
      <c r="B6" s="22">
        <f>Inputs!C6</f>
        <v/>
      </c>
      <c r="C6" s="23">
        <f>Inputs!D6</f>
        <v/>
      </c>
      <c r="D6" s="24">
        <f>Inputs!F6</f>
        <v/>
      </c>
      <c r="E6" s="25">
        <f>C6*1000</f>
        <v/>
      </c>
      <c r="F6" s="26">
        <f>E6*D6</f>
        <v/>
      </c>
      <c r="G6" s="27">
        <f>F6/$F$21</f>
        <v/>
      </c>
      <c r="H6" s="22">
        <f>Inputs!G6</f>
        <v/>
      </c>
    </row>
    <row r="7">
      <c r="A7" s="22">
        <f>Inputs!A7</f>
        <v/>
      </c>
      <c r="B7" s="22">
        <f>Inputs!C7</f>
        <v/>
      </c>
      <c r="C7" s="23">
        <f>Inputs!D7</f>
        <v/>
      </c>
      <c r="D7" s="24">
        <f>Inputs!F7</f>
        <v/>
      </c>
      <c r="E7" s="25">
        <f>C7*1000</f>
        <v/>
      </c>
      <c r="F7" s="26">
        <f>E7*D7</f>
        <v/>
      </c>
      <c r="G7" s="27">
        <f>F7/$F$21</f>
        <v/>
      </c>
      <c r="H7" s="22">
        <f>Inputs!G7</f>
        <v/>
      </c>
    </row>
    <row r="8">
      <c r="A8" s="22">
        <f>Inputs!A8</f>
        <v/>
      </c>
      <c r="B8" s="22">
        <f>Inputs!C8</f>
        <v/>
      </c>
      <c r="C8" s="23">
        <f>Inputs!D8</f>
        <v/>
      </c>
      <c r="D8" s="24">
        <f>Inputs!F8</f>
        <v/>
      </c>
      <c r="E8" s="25">
        <f>C8*1000</f>
        <v/>
      </c>
      <c r="F8" s="26">
        <f>E8*D8</f>
        <v/>
      </c>
      <c r="G8" s="27">
        <f>F8/$F$21</f>
        <v/>
      </c>
      <c r="H8" s="22">
        <f>Inputs!G8</f>
        <v/>
      </c>
    </row>
    <row r="9">
      <c r="A9" s="22">
        <f>Inputs!A9</f>
        <v/>
      </c>
      <c r="B9" s="22">
        <f>Inputs!C9</f>
        <v/>
      </c>
      <c r="C9" s="23">
        <f>Inputs!D9</f>
        <v/>
      </c>
      <c r="D9" s="24">
        <f>Inputs!F9</f>
        <v/>
      </c>
      <c r="E9" s="25">
        <f>C9*1000</f>
        <v/>
      </c>
      <c r="F9" s="26">
        <f>E9*D9</f>
        <v/>
      </c>
      <c r="G9" s="27">
        <f>F9/$F$21</f>
        <v/>
      </c>
      <c r="H9" s="22">
        <f>Inputs!G9</f>
        <v/>
      </c>
    </row>
    <row r="10">
      <c r="A10" s="22">
        <f>Inputs!A10</f>
        <v/>
      </c>
      <c r="B10" s="22">
        <f>Inputs!C10</f>
        <v/>
      </c>
      <c r="C10" s="23">
        <f>Inputs!D10</f>
        <v/>
      </c>
      <c r="D10" s="24">
        <f>Inputs!F10</f>
        <v/>
      </c>
      <c r="E10" s="25">
        <f>C10*1000</f>
        <v/>
      </c>
      <c r="F10" s="26">
        <f>E10*D10</f>
        <v/>
      </c>
      <c r="G10" s="27">
        <f>F10/$F$21</f>
        <v/>
      </c>
      <c r="H10" s="22">
        <f>Inputs!G10</f>
        <v/>
      </c>
    </row>
    <row r="11">
      <c r="A11" s="22">
        <f>Inputs!A11</f>
        <v/>
      </c>
      <c r="B11" s="22">
        <f>Inputs!C11</f>
        <v/>
      </c>
      <c r="C11" s="23">
        <f>Inputs!D11</f>
        <v/>
      </c>
      <c r="D11" s="24">
        <f>Inputs!F11</f>
        <v/>
      </c>
      <c r="E11" s="25">
        <f>C11*1000</f>
        <v/>
      </c>
      <c r="F11" s="26">
        <f>E11*D11</f>
        <v/>
      </c>
      <c r="G11" s="27">
        <f>F11/$F$21</f>
        <v/>
      </c>
      <c r="H11" s="22">
        <f>Inputs!G11</f>
        <v/>
      </c>
    </row>
    <row r="12">
      <c r="A12" s="22">
        <f>Inputs!A12</f>
        <v/>
      </c>
      <c r="B12" s="22">
        <f>Inputs!C12</f>
        <v/>
      </c>
      <c r="C12" s="23">
        <f>Inputs!D12</f>
        <v/>
      </c>
      <c r="D12" s="24">
        <f>Inputs!F12</f>
        <v/>
      </c>
      <c r="E12" s="25">
        <f>C12*1000</f>
        <v/>
      </c>
      <c r="F12" s="26">
        <f>E12*D12</f>
        <v/>
      </c>
      <c r="G12" s="27">
        <f>F12/$F$21</f>
        <v/>
      </c>
      <c r="H12" s="22">
        <f>Inputs!G12</f>
        <v/>
      </c>
    </row>
    <row r="13">
      <c r="A13" s="22">
        <f>Inputs!A13</f>
        <v/>
      </c>
      <c r="B13" s="22">
        <f>Inputs!C13</f>
        <v/>
      </c>
      <c r="C13" s="23">
        <f>Inputs!D13</f>
        <v/>
      </c>
      <c r="D13" s="24">
        <f>Inputs!F13</f>
        <v/>
      </c>
      <c r="E13" s="25">
        <f>C13*1000</f>
        <v/>
      </c>
      <c r="F13" s="26">
        <f>E13*D13</f>
        <v/>
      </c>
      <c r="G13" s="27">
        <f>F13/$F$21</f>
        <v/>
      </c>
      <c r="H13" s="22">
        <f>Inputs!G13</f>
        <v/>
      </c>
    </row>
    <row r="14">
      <c r="A14" s="22">
        <f>Inputs!A14</f>
        <v/>
      </c>
      <c r="B14" s="22">
        <f>Inputs!C14</f>
        <v/>
      </c>
      <c r="C14" s="23">
        <f>Inputs!D14</f>
        <v/>
      </c>
      <c r="D14" s="24">
        <f>Inputs!F14</f>
        <v/>
      </c>
      <c r="E14" s="25">
        <f>C14*1000</f>
        <v/>
      </c>
      <c r="F14" s="26">
        <f>E14*D14</f>
        <v/>
      </c>
      <c r="G14" s="27">
        <f>F14/$F$21</f>
        <v/>
      </c>
      <c r="H14" s="22">
        <f>Inputs!G14</f>
        <v/>
      </c>
    </row>
    <row r="15">
      <c r="A15" s="22">
        <f>Inputs!A15</f>
        <v/>
      </c>
      <c r="B15" s="22">
        <f>Inputs!C15</f>
        <v/>
      </c>
      <c r="C15" s="23">
        <f>Inputs!D15</f>
        <v/>
      </c>
      <c r="D15" s="24">
        <f>Inputs!F15</f>
        <v/>
      </c>
      <c r="E15" s="25">
        <f>C15*1000</f>
        <v/>
      </c>
      <c r="F15" s="26">
        <f>E15*D15</f>
        <v/>
      </c>
      <c r="G15" s="27">
        <f>F15/$F$21</f>
        <v/>
      </c>
      <c r="H15" s="22">
        <f>Inputs!G15</f>
        <v/>
      </c>
    </row>
    <row r="16">
      <c r="A16" s="22">
        <f>Inputs!A16</f>
        <v/>
      </c>
      <c r="B16" s="22">
        <f>Inputs!C16</f>
        <v/>
      </c>
      <c r="C16" s="23">
        <f>Inputs!D16</f>
        <v/>
      </c>
      <c r="D16" s="24">
        <f>Inputs!F16</f>
        <v/>
      </c>
      <c r="E16" s="25">
        <f>C16*1000</f>
        <v/>
      </c>
      <c r="F16" s="26">
        <f>E16*D16</f>
        <v/>
      </c>
      <c r="G16" s="27">
        <f>F16/$F$21</f>
        <v/>
      </c>
      <c r="H16" s="22">
        <f>Inputs!G16</f>
        <v/>
      </c>
    </row>
    <row r="17">
      <c r="A17" s="22">
        <f>Inputs!A17</f>
        <v/>
      </c>
      <c r="B17" s="22">
        <f>Inputs!C17</f>
        <v/>
      </c>
      <c r="C17" s="23">
        <f>Inputs!D17</f>
        <v/>
      </c>
      <c r="D17" s="24">
        <f>Inputs!F17</f>
        <v/>
      </c>
      <c r="E17" s="25">
        <f>C17*1000</f>
        <v/>
      </c>
      <c r="F17" s="26">
        <f>E17*D17</f>
        <v/>
      </c>
      <c r="G17" s="27">
        <f>F17/$F$21</f>
        <v/>
      </c>
      <c r="H17" s="22">
        <f>Inputs!G17</f>
        <v/>
      </c>
    </row>
    <row r="18">
      <c r="A18" s="22">
        <f>Inputs!A18</f>
        <v/>
      </c>
      <c r="B18" s="22">
        <f>Inputs!C18</f>
        <v/>
      </c>
      <c r="C18" s="23">
        <f>Inputs!D18</f>
        <v/>
      </c>
      <c r="D18" s="24">
        <f>Inputs!F18</f>
        <v/>
      </c>
      <c r="E18" s="25">
        <f>C18*1000</f>
        <v/>
      </c>
      <c r="F18" s="26">
        <f>E18*D18</f>
        <v/>
      </c>
      <c r="G18" s="27">
        <f>F18/$F$21</f>
        <v/>
      </c>
      <c r="H18" s="22">
        <f>Inputs!G18</f>
        <v/>
      </c>
    </row>
    <row r="19">
      <c r="A19" s="22">
        <f>Inputs!A19</f>
        <v/>
      </c>
      <c r="B19" s="22">
        <f>Inputs!C19</f>
        <v/>
      </c>
      <c r="C19" s="23">
        <f>Inputs!D19</f>
        <v/>
      </c>
      <c r="D19" s="24">
        <f>Inputs!F19</f>
        <v/>
      </c>
      <c r="E19" s="25">
        <f>C19*1000</f>
        <v/>
      </c>
      <c r="F19" s="26">
        <f>E19*D19</f>
        <v/>
      </c>
      <c r="G19" s="27">
        <f>F19/$F$21</f>
        <v/>
      </c>
      <c r="H19" s="22">
        <f>Inputs!G19</f>
        <v/>
      </c>
    </row>
    <row r="20">
      <c r="A20" s="22">
        <f>Inputs!A20</f>
        <v/>
      </c>
      <c r="B20" s="22">
        <f>Inputs!C20</f>
        <v/>
      </c>
      <c r="C20" s="23">
        <f>Inputs!D20</f>
        <v/>
      </c>
      <c r="D20" s="24">
        <f>Inputs!F20</f>
        <v/>
      </c>
      <c r="E20" s="25">
        <f>C20*1000</f>
        <v/>
      </c>
      <c r="F20" s="26">
        <f>E20*D20</f>
        <v/>
      </c>
      <c r="G20" s="27">
        <f>F20/$F$21</f>
        <v/>
      </c>
      <c r="H20" s="22">
        <f>Inputs!G20</f>
        <v/>
      </c>
    </row>
    <row r="21">
      <c r="A21" s="28" t="inlineStr">
        <is>
          <t>BASKET VALUE / TONNE REO  →</t>
        </is>
      </c>
      <c r="F21" s="29">
        <f>SUM(F4:F20)</f>
        <v/>
      </c>
    </row>
    <row r="23">
      <c r="A23" s="30" t="inlineStr">
        <is>
          <t>Memo headline — magnet elements (NdPr+Dy+Tb) share of basket value:</t>
        </is>
      </c>
      <c r="F23" s="31">
        <f>SUMIF(H4:H20,"Yes",F4:F20)/$F$21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8" customWidth="1" min="5" max="5"/>
    <col width="14" customWidth="1" min="6" max="6"/>
  </cols>
  <sheetData>
    <row r="1" ht="26" customHeight="1">
      <c r="A1" s="1" t="inlineStr">
        <is>
          <t>SENSITIVITY — Price-floor &amp; export-control-shock scenarios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Illustrative scenario multipliers on the Inputs price column. Floor: NdPr ×1.25 (DoD-style price floor). Shock: heavies ×2, NdPr ×1.4 (China export-control squeeze). Replace multipliers with my own [[MY VIEW]] scenario assumptions.</t>
        </is>
      </c>
    </row>
    <row r="3">
      <c r="A3" s="30" t="inlineStr">
        <is>
          <t>Scenario assumptions (editable):</t>
        </is>
      </c>
    </row>
    <row r="4">
      <c r="A4" s="14" t="inlineStr">
        <is>
          <t>Floor — NdPr price multiplier</t>
        </is>
      </c>
      <c r="B4" s="32" t="n">
        <v>1.25</v>
      </c>
    </row>
    <row r="5">
      <c r="A5" s="14" t="inlineStr">
        <is>
          <t>Shock — heavy-RE price multiplier</t>
        </is>
      </c>
      <c r="B5" s="32" t="n">
        <v>2</v>
      </c>
    </row>
    <row r="6">
      <c r="A6" s="14" t="inlineStr">
        <is>
          <t>Shock — NdPr price multiplier</t>
        </is>
      </c>
      <c r="B6" s="32" t="n">
        <v>1.4</v>
      </c>
    </row>
    <row r="8" ht="36" customHeight="1">
      <c r="A8" s="16" t="inlineStr">
        <is>
          <t>Element</t>
        </is>
      </c>
      <c r="B8" s="16" t="inlineStr">
        <is>
          <t>Group</t>
        </is>
      </c>
      <c r="C8" s="16" t="inlineStr">
        <is>
          <t>Base value
USD/tonne</t>
        </is>
      </c>
      <c r="D8" s="16" t="inlineStr">
        <is>
          <t>Floor scenario
USD/tonne</t>
        </is>
      </c>
      <c r="E8" s="16" t="inlineStr">
        <is>
          <t>Export-control shock
USD/tonne</t>
        </is>
      </c>
      <c r="F8" s="16" t="inlineStr">
        <is>
          <t>Magnet element?</t>
        </is>
      </c>
    </row>
    <row r="9">
      <c r="A9" s="22">
        <f>Calc!A4</f>
        <v/>
      </c>
      <c r="B9" s="22">
        <f>Calc!B4</f>
        <v/>
      </c>
      <c r="C9" s="33">
        <f>Calc!F4</f>
        <v/>
      </c>
      <c r="D9" s="26">
        <f>Calc!F4*IF(OR(ISNUMBER(SEARCH("(Nd)",Calc!A4)),ISNUMBER(SEARCH("(Pr)",Calc!A4))),$B4,1)</f>
        <v/>
      </c>
      <c r="E9" s="26">
        <f>Calc!F4*IF(OR(ISNUMBER(SEARCH("(Nd)",Calc!A4)),ISNUMBER(SEARCH("(Pr)",Calc!A4))),$B6,IF(ISNUMBER(SEARCH("Heavy",Calc!B4)),$B5,1))</f>
        <v/>
      </c>
      <c r="F9" s="22">
        <f>Calc!H4</f>
        <v/>
      </c>
    </row>
    <row r="10">
      <c r="A10" s="22">
        <f>Calc!A5</f>
        <v/>
      </c>
      <c r="B10" s="22">
        <f>Calc!B5</f>
        <v/>
      </c>
      <c r="C10" s="33">
        <f>Calc!F5</f>
        <v/>
      </c>
      <c r="D10" s="26">
        <f>Calc!F5*IF(OR(ISNUMBER(SEARCH("(Nd)",Calc!A5)),ISNUMBER(SEARCH("(Pr)",Calc!A5))),$B4,1)</f>
        <v/>
      </c>
      <c r="E10" s="26">
        <f>Calc!F5*IF(OR(ISNUMBER(SEARCH("(Nd)",Calc!A5)),ISNUMBER(SEARCH("(Pr)",Calc!A5))),$B6,IF(ISNUMBER(SEARCH("Heavy",Calc!B5)),$B5,1))</f>
        <v/>
      </c>
      <c r="F10" s="22">
        <f>Calc!H5</f>
        <v/>
      </c>
    </row>
    <row r="11">
      <c r="A11" s="22">
        <f>Calc!A6</f>
        <v/>
      </c>
      <c r="B11" s="22">
        <f>Calc!B6</f>
        <v/>
      </c>
      <c r="C11" s="33">
        <f>Calc!F6</f>
        <v/>
      </c>
      <c r="D11" s="26">
        <f>Calc!F6*IF(OR(ISNUMBER(SEARCH("(Nd)",Calc!A6)),ISNUMBER(SEARCH("(Pr)",Calc!A6))),$B4,1)</f>
        <v/>
      </c>
      <c r="E11" s="26">
        <f>Calc!F6*IF(OR(ISNUMBER(SEARCH("(Nd)",Calc!A6)),ISNUMBER(SEARCH("(Pr)",Calc!A6))),$B6,IF(ISNUMBER(SEARCH("Heavy",Calc!B6)),$B5,1))</f>
        <v/>
      </c>
      <c r="F11" s="22">
        <f>Calc!H6</f>
        <v/>
      </c>
    </row>
    <row r="12">
      <c r="A12" s="22">
        <f>Calc!A7</f>
        <v/>
      </c>
      <c r="B12" s="22">
        <f>Calc!B7</f>
        <v/>
      </c>
      <c r="C12" s="33">
        <f>Calc!F7</f>
        <v/>
      </c>
      <c r="D12" s="26">
        <f>Calc!F7*IF(OR(ISNUMBER(SEARCH("(Nd)",Calc!A7)),ISNUMBER(SEARCH("(Pr)",Calc!A7))),$B4,1)</f>
        <v/>
      </c>
      <c r="E12" s="26">
        <f>Calc!F7*IF(OR(ISNUMBER(SEARCH("(Nd)",Calc!A7)),ISNUMBER(SEARCH("(Pr)",Calc!A7))),$B6,IF(ISNUMBER(SEARCH("Heavy",Calc!B7)),$B5,1))</f>
        <v/>
      </c>
      <c r="F12" s="22">
        <f>Calc!H7</f>
        <v/>
      </c>
    </row>
    <row r="13">
      <c r="A13" s="22">
        <f>Calc!A8</f>
        <v/>
      </c>
      <c r="B13" s="22">
        <f>Calc!B8</f>
        <v/>
      </c>
      <c r="C13" s="33">
        <f>Calc!F8</f>
        <v/>
      </c>
      <c r="D13" s="26">
        <f>Calc!F8*IF(OR(ISNUMBER(SEARCH("(Nd)",Calc!A8)),ISNUMBER(SEARCH("(Pr)",Calc!A8))),$B4,1)</f>
        <v/>
      </c>
      <c r="E13" s="26">
        <f>Calc!F8*IF(OR(ISNUMBER(SEARCH("(Nd)",Calc!A8)),ISNUMBER(SEARCH("(Pr)",Calc!A8))),$B6,IF(ISNUMBER(SEARCH("Heavy",Calc!B8)),$B5,1))</f>
        <v/>
      </c>
      <c r="F13" s="22">
        <f>Calc!H8</f>
        <v/>
      </c>
    </row>
    <row r="14">
      <c r="A14" s="22">
        <f>Calc!A9</f>
        <v/>
      </c>
      <c r="B14" s="22">
        <f>Calc!B9</f>
        <v/>
      </c>
      <c r="C14" s="33">
        <f>Calc!F9</f>
        <v/>
      </c>
      <c r="D14" s="26">
        <f>Calc!F9*IF(OR(ISNUMBER(SEARCH("(Nd)",Calc!A9)),ISNUMBER(SEARCH("(Pr)",Calc!A9))),$B4,1)</f>
        <v/>
      </c>
      <c r="E14" s="26">
        <f>Calc!F9*IF(OR(ISNUMBER(SEARCH("(Nd)",Calc!A9)),ISNUMBER(SEARCH("(Pr)",Calc!A9))),$B6,IF(ISNUMBER(SEARCH("Heavy",Calc!B9)),$B5,1))</f>
        <v/>
      </c>
      <c r="F14" s="22">
        <f>Calc!H9</f>
        <v/>
      </c>
    </row>
    <row r="15">
      <c r="A15" s="22">
        <f>Calc!A10</f>
        <v/>
      </c>
      <c r="B15" s="22">
        <f>Calc!B10</f>
        <v/>
      </c>
      <c r="C15" s="33">
        <f>Calc!F10</f>
        <v/>
      </c>
      <c r="D15" s="26">
        <f>Calc!F10*IF(OR(ISNUMBER(SEARCH("(Nd)",Calc!A10)),ISNUMBER(SEARCH("(Pr)",Calc!A10))),$B4,1)</f>
        <v/>
      </c>
      <c r="E15" s="26">
        <f>Calc!F10*IF(OR(ISNUMBER(SEARCH("(Nd)",Calc!A10)),ISNUMBER(SEARCH("(Pr)",Calc!A10))),$B6,IF(ISNUMBER(SEARCH("Heavy",Calc!B10)),$B5,1))</f>
        <v/>
      </c>
      <c r="F15" s="22">
        <f>Calc!H10</f>
        <v/>
      </c>
    </row>
    <row r="16">
      <c r="A16" s="22">
        <f>Calc!A11</f>
        <v/>
      </c>
      <c r="B16" s="22">
        <f>Calc!B11</f>
        <v/>
      </c>
      <c r="C16" s="33">
        <f>Calc!F11</f>
        <v/>
      </c>
      <c r="D16" s="26">
        <f>Calc!F11*IF(OR(ISNUMBER(SEARCH("(Nd)",Calc!A11)),ISNUMBER(SEARCH("(Pr)",Calc!A11))),$B4,1)</f>
        <v/>
      </c>
      <c r="E16" s="26">
        <f>Calc!F11*IF(OR(ISNUMBER(SEARCH("(Nd)",Calc!A11)),ISNUMBER(SEARCH("(Pr)",Calc!A11))),$B6,IF(ISNUMBER(SEARCH("Heavy",Calc!B11)),$B5,1))</f>
        <v/>
      </c>
      <c r="F16" s="22">
        <f>Calc!H11</f>
        <v/>
      </c>
    </row>
    <row r="17">
      <c r="A17" s="22">
        <f>Calc!A12</f>
        <v/>
      </c>
      <c r="B17" s="22">
        <f>Calc!B12</f>
        <v/>
      </c>
      <c r="C17" s="33">
        <f>Calc!F12</f>
        <v/>
      </c>
      <c r="D17" s="26">
        <f>Calc!F12*IF(OR(ISNUMBER(SEARCH("(Nd)",Calc!A12)),ISNUMBER(SEARCH("(Pr)",Calc!A12))),$B4,1)</f>
        <v/>
      </c>
      <c r="E17" s="26">
        <f>Calc!F12*IF(OR(ISNUMBER(SEARCH("(Nd)",Calc!A12)),ISNUMBER(SEARCH("(Pr)",Calc!A12))),$B6,IF(ISNUMBER(SEARCH("Heavy",Calc!B12)),$B5,1))</f>
        <v/>
      </c>
      <c r="F17" s="22">
        <f>Calc!H12</f>
        <v/>
      </c>
    </row>
    <row r="18">
      <c r="A18" s="22">
        <f>Calc!A13</f>
        <v/>
      </c>
      <c r="B18" s="22">
        <f>Calc!B13</f>
        <v/>
      </c>
      <c r="C18" s="33">
        <f>Calc!F13</f>
        <v/>
      </c>
      <c r="D18" s="26">
        <f>Calc!F13*IF(OR(ISNUMBER(SEARCH("(Nd)",Calc!A13)),ISNUMBER(SEARCH("(Pr)",Calc!A13))),$B4,1)</f>
        <v/>
      </c>
      <c r="E18" s="26">
        <f>Calc!F13*IF(OR(ISNUMBER(SEARCH("(Nd)",Calc!A13)),ISNUMBER(SEARCH("(Pr)",Calc!A13))),$B6,IF(ISNUMBER(SEARCH("Heavy",Calc!B13)),$B5,1))</f>
        <v/>
      </c>
      <c r="F18" s="22">
        <f>Calc!H13</f>
        <v/>
      </c>
    </row>
    <row r="19">
      <c r="A19" s="22">
        <f>Calc!A14</f>
        <v/>
      </c>
      <c r="B19" s="22">
        <f>Calc!B14</f>
        <v/>
      </c>
      <c r="C19" s="33">
        <f>Calc!F14</f>
        <v/>
      </c>
      <c r="D19" s="26">
        <f>Calc!F14*IF(OR(ISNUMBER(SEARCH("(Nd)",Calc!A14)),ISNUMBER(SEARCH("(Pr)",Calc!A14))),$B4,1)</f>
        <v/>
      </c>
      <c r="E19" s="26">
        <f>Calc!F14*IF(OR(ISNUMBER(SEARCH("(Nd)",Calc!A14)),ISNUMBER(SEARCH("(Pr)",Calc!A14))),$B6,IF(ISNUMBER(SEARCH("Heavy",Calc!B14)),$B5,1))</f>
        <v/>
      </c>
      <c r="F19" s="22">
        <f>Calc!H14</f>
        <v/>
      </c>
    </row>
    <row r="20">
      <c r="A20" s="22">
        <f>Calc!A15</f>
        <v/>
      </c>
      <c r="B20" s="22">
        <f>Calc!B15</f>
        <v/>
      </c>
      <c r="C20" s="33">
        <f>Calc!F15</f>
        <v/>
      </c>
      <c r="D20" s="26">
        <f>Calc!F15*IF(OR(ISNUMBER(SEARCH("(Nd)",Calc!A15)),ISNUMBER(SEARCH("(Pr)",Calc!A15))),$B4,1)</f>
        <v/>
      </c>
      <c r="E20" s="26">
        <f>Calc!F15*IF(OR(ISNUMBER(SEARCH("(Nd)",Calc!A15)),ISNUMBER(SEARCH("(Pr)",Calc!A15))),$B6,IF(ISNUMBER(SEARCH("Heavy",Calc!B15)),$B5,1))</f>
        <v/>
      </c>
      <c r="F20" s="22">
        <f>Calc!H15</f>
        <v/>
      </c>
    </row>
    <row r="21">
      <c r="A21" s="22">
        <f>Calc!A16</f>
        <v/>
      </c>
      <c r="B21" s="22">
        <f>Calc!B16</f>
        <v/>
      </c>
      <c r="C21" s="33">
        <f>Calc!F16</f>
        <v/>
      </c>
      <c r="D21" s="26">
        <f>Calc!F16*IF(OR(ISNUMBER(SEARCH("(Nd)",Calc!A16)),ISNUMBER(SEARCH("(Pr)",Calc!A16))),$B4,1)</f>
        <v/>
      </c>
      <c r="E21" s="26">
        <f>Calc!F16*IF(OR(ISNUMBER(SEARCH("(Nd)",Calc!A16)),ISNUMBER(SEARCH("(Pr)",Calc!A16))),$B6,IF(ISNUMBER(SEARCH("Heavy",Calc!B16)),$B5,1))</f>
        <v/>
      </c>
      <c r="F21" s="22">
        <f>Calc!H16</f>
        <v/>
      </c>
    </row>
    <row r="22">
      <c r="A22" s="22">
        <f>Calc!A17</f>
        <v/>
      </c>
      <c r="B22" s="22">
        <f>Calc!B17</f>
        <v/>
      </c>
      <c r="C22" s="33">
        <f>Calc!F17</f>
        <v/>
      </c>
      <c r="D22" s="26">
        <f>Calc!F17*IF(OR(ISNUMBER(SEARCH("(Nd)",Calc!A17)),ISNUMBER(SEARCH("(Pr)",Calc!A17))),$B4,1)</f>
        <v/>
      </c>
      <c r="E22" s="26">
        <f>Calc!F17*IF(OR(ISNUMBER(SEARCH("(Nd)",Calc!A17)),ISNUMBER(SEARCH("(Pr)",Calc!A17))),$B6,IF(ISNUMBER(SEARCH("Heavy",Calc!B17)),$B5,1))</f>
        <v/>
      </c>
      <c r="F22" s="22">
        <f>Calc!H17</f>
        <v/>
      </c>
    </row>
    <row r="23">
      <c r="A23" s="22">
        <f>Calc!A18</f>
        <v/>
      </c>
      <c r="B23" s="22">
        <f>Calc!B18</f>
        <v/>
      </c>
      <c r="C23" s="33">
        <f>Calc!F18</f>
        <v/>
      </c>
      <c r="D23" s="26">
        <f>Calc!F18*IF(OR(ISNUMBER(SEARCH("(Nd)",Calc!A18)),ISNUMBER(SEARCH("(Pr)",Calc!A18))),$B4,1)</f>
        <v/>
      </c>
      <c r="E23" s="26">
        <f>Calc!F18*IF(OR(ISNUMBER(SEARCH("(Nd)",Calc!A18)),ISNUMBER(SEARCH("(Pr)",Calc!A18))),$B6,IF(ISNUMBER(SEARCH("Heavy",Calc!B18)),$B5,1))</f>
        <v/>
      </c>
      <c r="F23" s="22">
        <f>Calc!H18</f>
        <v/>
      </c>
    </row>
    <row r="24">
      <c r="A24" s="22">
        <f>Calc!A19</f>
        <v/>
      </c>
      <c r="B24" s="22">
        <f>Calc!B19</f>
        <v/>
      </c>
      <c r="C24" s="33">
        <f>Calc!F19</f>
        <v/>
      </c>
      <c r="D24" s="26">
        <f>Calc!F19*IF(OR(ISNUMBER(SEARCH("(Nd)",Calc!A19)),ISNUMBER(SEARCH("(Pr)",Calc!A19))),$B4,1)</f>
        <v/>
      </c>
      <c r="E24" s="26">
        <f>Calc!F19*IF(OR(ISNUMBER(SEARCH("(Nd)",Calc!A19)),ISNUMBER(SEARCH("(Pr)",Calc!A19))),$B6,IF(ISNUMBER(SEARCH("Heavy",Calc!B19)),$B5,1))</f>
        <v/>
      </c>
      <c r="F24" s="22">
        <f>Calc!H19</f>
        <v/>
      </c>
    </row>
    <row r="25">
      <c r="A25" s="22">
        <f>Calc!A20</f>
        <v/>
      </c>
      <c r="B25" s="22">
        <f>Calc!B20</f>
        <v/>
      </c>
      <c r="C25" s="33">
        <f>Calc!F20</f>
        <v/>
      </c>
      <c r="D25" s="26">
        <f>Calc!F20*IF(OR(ISNUMBER(SEARCH("(Nd)",Calc!A20)),ISNUMBER(SEARCH("(Pr)",Calc!A20))),$B4,1)</f>
        <v/>
      </c>
      <c r="E25" s="26">
        <f>Calc!F20*IF(OR(ISNUMBER(SEARCH("(Nd)",Calc!A20)),ISNUMBER(SEARCH("(Pr)",Calc!A20))),$B6,IF(ISNUMBER(SEARCH("Heavy",Calc!B20)),$B5,1))</f>
        <v/>
      </c>
      <c r="F25" s="22">
        <f>Calc!H20</f>
        <v/>
      </c>
    </row>
    <row r="26">
      <c r="A26" s="34" t="inlineStr">
        <is>
          <t>BASKET VALUE / TONNE  →</t>
        </is>
      </c>
      <c r="C26" s="29">
        <f>SUM(C9:C25)</f>
        <v/>
      </c>
      <c r="D26" s="29">
        <f>SUM(D9:D25)</f>
        <v/>
      </c>
      <c r="E26" s="29">
        <f>SUM(E9:E25)</f>
        <v/>
      </c>
    </row>
    <row r="27">
      <c r="A27" s="35" t="inlineStr">
        <is>
          <t>Uplift vs base</t>
        </is>
      </c>
      <c r="D27" s="36">
        <f>D26/C26-1</f>
        <v/>
      </c>
      <c r="E27" s="36">
        <f>E26/C26-1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6" customHeight="1">
      <c r="A1" s="1" t="inlineStr">
        <is>
          <t>CHART — % contribution to basket value by element</t>
        </is>
      </c>
      <c r="B1" s="2" t="n"/>
      <c r="C1" s="2" t="n"/>
    </row>
    <row r="2" ht="28" customHeight="1">
      <c r="A2" s="3" t="inlineStr">
        <is>
          <t>Auto-built from the Calc tab. The memo references this chart.</t>
        </is>
      </c>
    </row>
    <row r="3">
      <c r="A3" s="13" t="inlineStr">
        <is>
          <t>Element</t>
        </is>
      </c>
      <c r="B3" s="13" t="inlineStr">
        <is>
          <t>% of basket value</t>
        </is>
      </c>
    </row>
    <row r="4">
      <c r="A4">
        <f>Calc!A4</f>
        <v/>
      </c>
      <c r="B4" s="37">
        <f>Calc!G4</f>
        <v/>
      </c>
    </row>
    <row r="5">
      <c r="A5">
        <f>Calc!A5</f>
        <v/>
      </c>
      <c r="B5" s="37">
        <f>Calc!G5</f>
        <v/>
      </c>
    </row>
    <row r="6">
      <c r="A6">
        <f>Calc!A6</f>
        <v/>
      </c>
      <c r="B6" s="37">
        <f>Calc!G6</f>
        <v/>
      </c>
    </row>
    <row r="7">
      <c r="A7">
        <f>Calc!A7</f>
        <v/>
      </c>
      <c r="B7" s="37">
        <f>Calc!G7</f>
        <v/>
      </c>
    </row>
    <row r="8">
      <c r="A8">
        <f>Calc!A8</f>
        <v/>
      </c>
      <c r="B8" s="37">
        <f>Calc!G8</f>
        <v/>
      </c>
    </row>
    <row r="9">
      <c r="A9">
        <f>Calc!A9</f>
        <v/>
      </c>
      <c r="B9" s="37">
        <f>Calc!G9</f>
        <v/>
      </c>
    </row>
    <row r="10">
      <c r="A10">
        <f>Calc!A10</f>
        <v/>
      </c>
      <c r="B10" s="37">
        <f>Calc!G10</f>
        <v/>
      </c>
    </row>
    <row r="11">
      <c r="A11">
        <f>Calc!A11</f>
        <v/>
      </c>
      <c r="B11" s="37">
        <f>Calc!G11</f>
        <v/>
      </c>
    </row>
    <row r="12">
      <c r="A12">
        <f>Calc!A12</f>
        <v/>
      </c>
      <c r="B12" s="37">
        <f>Calc!G12</f>
        <v/>
      </c>
    </row>
    <row r="13">
      <c r="A13">
        <f>Calc!A13</f>
        <v/>
      </c>
      <c r="B13" s="37">
        <f>Calc!G13</f>
        <v/>
      </c>
    </row>
    <row r="14">
      <c r="A14">
        <f>Calc!A14</f>
        <v/>
      </c>
      <c r="B14" s="37">
        <f>Calc!G14</f>
        <v/>
      </c>
    </row>
    <row r="15">
      <c r="A15">
        <f>Calc!A15</f>
        <v/>
      </c>
      <c r="B15" s="37">
        <f>Calc!G15</f>
        <v/>
      </c>
    </row>
    <row r="16">
      <c r="A16">
        <f>Calc!A16</f>
        <v/>
      </c>
      <c r="B16" s="37">
        <f>Calc!G16</f>
        <v/>
      </c>
    </row>
    <row r="17">
      <c r="A17">
        <f>Calc!A17</f>
        <v/>
      </c>
      <c r="B17" s="37">
        <f>Calc!G17</f>
        <v/>
      </c>
    </row>
    <row r="18">
      <c r="A18">
        <f>Calc!A18</f>
        <v/>
      </c>
      <c r="B18" s="37">
        <f>Calc!G18</f>
        <v/>
      </c>
    </row>
    <row r="19">
      <c r="A19">
        <f>Calc!A19</f>
        <v/>
      </c>
      <c r="B19" s="37">
        <f>Calc!G19</f>
        <v/>
      </c>
    </row>
    <row r="20">
      <c r="A20">
        <f>Calc!A20</f>
        <v/>
      </c>
      <c r="B20" s="37">
        <f>Calc!G20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NOTES — read me</t>
        </is>
      </c>
    </row>
    <row r="3">
      <c r="A3" s="3" t="inlineStr"/>
    </row>
    <row r="4">
      <c r="A4" s="38" t="inlineStr">
        <is>
          <t>ALL NUMBERS IN THIS WORKBOOK ARE ILLUSTRATIVE PLACEHOLDERS.</t>
        </is>
      </c>
    </row>
    <row r="5">
      <c r="A5" s="3" t="inlineStr">
        <is>
          <t>They do not represent any real deposit, price, or scenario and must not be circulated as analysis until replaced.</t>
        </is>
      </c>
    </row>
    <row r="6">
      <c r="A6" s="3" t="inlineStr"/>
    </row>
    <row r="7">
      <c r="A7" s="3" t="inlineStr">
        <is>
          <t>To make this real, fill in:</t>
        </is>
      </c>
    </row>
    <row r="8">
      <c r="A8" s="39" t="inlineStr">
        <is>
          <t xml:space="preserve">  1. Inputs!D (Example Deposit A) — [[INPUT]] real % by oxide for your deposit; rename the column to the deposit name.</t>
        </is>
      </c>
    </row>
    <row r="9">
      <c r="A9" s="39" t="inlineStr">
        <is>
          <t xml:space="preserve">  2. Inputs!E (Example Deposit B) — [[INPUT]] a second real deposit, or delete the column.</t>
        </is>
      </c>
    </row>
    <row r="10">
      <c r="A10" s="39" t="inlineStr">
        <is>
          <t xml:space="preserve">  3. Inputs!F (Oxide price) — [[VERIFY]] live oxide prices (USD/kg) with an as-of date; note China-domestic vs ex-China/CIF (memo §1.5).</t>
        </is>
      </c>
    </row>
    <row r="11">
      <c r="A11" s="39" t="inlineStr">
        <is>
          <t xml:space="preserve">  4. Sensitivity!B4:B6 — [[MY VIEW]] your own floor / shock multipliers.</t>
        </is>
      </c>
    </row>
    <row r="12">
      <c r="A12" s="3" t="inlineStr"/>
    </row>
    <row r="13">
      <c r="A13" s="3" t="inlineStr">
        <is>
          <t>How it flows: Inputs → Calc (weighted basket value/tonne + % contribution) → Sensitivity (floor &amp; export-control scenarios) → Chart.</t>
        </is>
      </c>
    </row>
    <row r="14">
      <c r="A14" s="3" t="inlineStr">
        <is>
          <t>Everything is formula-linked: change Inputs and the rest updates.</t>
        </is>
      </c>
    </row>
    <row r="15">
      <c r="A15" s="3" t="inlineStr"/>
    </row>
    <row r="16">
      <c r="A16" s="3" t="inlineStr">
        <is>
          <t>Color conventions (Street standard):</t>
        </is>
      </c>
    </row>
    <row r="17">
      <c r="A17" s="39" t="inlineStr">
        <is>
          <t xml:space="preserve">  BLUE text = hardcoded input (yours to change; amber fill = must fill in).</t>
        </is>
      </c>
    </row>
    <row r="18">
      <c r="A18" s="39" t="inlineStr">
        <is>
          <t xml:space="preserve">  BLACK text = formula within the tab. Do not overwrite.</t>
        </is>
      </c>
    </row>
    <row r="19">
      <c r="A19" s="39" t="inlineStr">
        <is>
          <t xml:space="preserve">  GREEN text = link pulling from another tab. Do not overwrite.</t>
        </is>
      </c>
    </row>
    <row r="20">
      <c r="A20" s="39" t="inlineStr">
        <is>
          <t xml:space="preserve">  Double-underlined rows = final outputs (basket value / tonne).</t>
        </is>
      </c>
    </row>
    <row r="21">
      <c r="A21" s="3" t="inlineStr"/>
    </row>
    <row r="22">
      <c r="A22" s="3" t="inlineStr">
        <is>
          <t>Headline number to quote in the memo: Calc!F&lt;total row&gt; (BASKET VALUE / TONNE REO). It is illustrative until step 1–3 are done.</t>
        </is>
      </c>
    </row>
    <row r="23">
      <c r="A23" s="3" t="inlineStr"/>
    </row>
    <row r="24">
      <c r="A24" s="3" t="inlineStr">
        <is>
          <t>Pricing caveat (mirror of memo §1.5 / Sources): rare-earth pricing is opaque, thin, two-regime, and goes stale fast. Date every price.</t>
        </is>
      </c>
    </row>
    <row r="25">
      <c r="A25" s="3" t="inlineStr"/>
    </row>
    <row r="26">
      <c r="A26" s="3" t="inlineStr">
        <is>
          <t>Workbook generated by scripts/build_model.py on 2026-07-07.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2026-07-07T05:44:57Z</dcterms:created>
  <dcterms:modified xsi:type="dcterms:W3CDTF">2026-07-07T05:44:57Z</dcterms:modified>
</cp:coreProperties>
</file>